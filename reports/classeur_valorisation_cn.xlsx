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Historique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bilite" sheetId="4" state="visible" r:id="rId4"/>
    <sheet xmlns:r="http://schemas.openxmlformats.org/officeDocument/2006/relationships" name="Compa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Valorisation du Canadien National (CNR.TO), classeur généré par vlab</t>
        </is>
      </c>
    </row>
    <row r="3">
      <c r="A3" t="inlineStr">
        <is>
          <t>La feuille DCF contient des FORMULES : changer une hypothèse (en haut) recalcule tout.</t>
        </is>
      </c>
    </row>
    <row r="4">
      <c r="A4" t="inlineStr">
        <is>
          <t>Statuts : historique MESURÉ (SEC, companyfacts) ; hypothèses DCF MODÉLISÉES et déclarées ;</t>
        </is>
      </c>
    </row>
    <row r="5">
      <c r="A5" t="inlineStr">
        <is>
          <t>multiples des pairs RAPPORTÉS (Yahoo Finance, 2026-08-28). Montants en millions de CAD.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exercice</t>
        </is>
      </c>
      <c r="B1" s="1" t="inlineStr">
        <is>
          <t>revenus</t>
        </is>
      </c>
      <c r="C1" s="1" t="inlineStr">
        <is>
          <t>resultat_exploitation</t>
        </is>
      </c>
      <c r="D1" s="1" t="inlineStr">
        <is>
          <t>amortissements</t>
        </is>
      </c>
      <c r="E1" s="1" t="inlineStr">
        <is>
          <t>benefice_net</t>
        </is>
      </c>
      <c r="F1" s="1" t="inlineStr">
        <is>
          <t>flux_exploitation</t>
        </is>
      </c>
      <c r="G1" s="1" t="inlineStr">
        <is>
          <t>capex</t>
        </is>
      </c>
      <c r="H1" s="1" t="inlineStr">
        <is>
          <t>interets</t>
        </is>
      </c>
      <c r="I1" s="1" t="inlineStr">
        <is>
          <t>impots</t>
        </is>
      </c>
      <c r="J1" s="1" t="inlineStr">
        <is>
          <t>resultat_avant_impots</t>
        </is>
      </c>
      <c r="K1" s="1" t="inlineStr">
        <is>
          <t>dette_long_terme</t>
        </is>
      </c>
      <c r="L1" s="1" t="inlineStr">
        <is>
          <t>tresorerie</t>
        </is>
      </c>
      <c r="M1" s="1" t="inlineStr">
        <is>
          <t>actions_diluees</t>
        </is>
      </c>
      <c r="N1" s="1" t="inlineStr">
        <is>
          <t>marge_exploitation_pct</t>
        </is>
      </c>
      <c r="O1" s="1" t="inlineStr">
        <is>
          <t>fcf</t>
        </is>
      </c>
      <c r="P1" s="1" t="inlineStr">
        <is>
          <t>taux_impot_effectif</t>
        </is>
      </c>
      <c r="Q1" s="1" t="inlineStr">
        <is>
          <t>fcff</t>
        </is>
      </c>
      <c r="R1" s="1" t="inlineStr">
        <is>
          <t>bpa_dilue</t>
        </is>
      </c>
      <c r="S1" s="1" t="inlineStr">
        <is>
          <t>capex_sur_revenus_pct</t>
        </is>
      </c>
    </row>
    <row r="2">
      <c r="A2" t="n">
        <v>2011</v>
      </c>
      <c r="B2" t="n">
        <v>9028</v>
      </c>
      <c r="C2" t="n">
        <v>3296</v>
      </c>
      <c r="E2" t="n">
        <v>2457</v>
      </c>
      <c r="F2" t="n">
        <v>2976</v>
      </c>
      <c r="G2" t="n">
        <v>1625</v>
      </c>
      <c r="H2" t="n">
        <v>341</v>
      </c>
      <c r="I2" t="n">
        <v>899</v>
      </c>
      <c r="J2" t="n">
        <v>3356</v>
      </c>
      <c r="K2" t="n">
        <v>6576</v>
      </c>
      <c r="L2" t="n">
        <v>101</v>
      </c>
      <c r="M2" t="n">
        <v>908.9</v>
      </c>
      <c r="N2" t="n">
        <v>36.509</v>
      </c>
      <c r="O2" t="n">
        <v>1351</v>
      </c>
      <c r="P2" t="n">
        <v>0.268</v>
      </c>
      <c r="Q2" t="n">
        <v>1600.653</v>
      </c>
      <c r="R2" t="n">
        <v>2.703</v>
      </c>
      <c r="S2" t="n">
        <v>18</v>
      </c>
    </row>
    <row r="3">
      <c r="A3" t="n">
        <v>2012</v>
      </c>
      <c r="B3" t="n">
        <v>9920</v>
      </c>
      <c r="C3" t="n">
        <v>3685</v>
      </c>
      <c r="E3" t="n">
        <v>2680</v>
      </c>
      <c r="F3" t="n">
        <v>3060</v>
      </c>
      <c r="G3" t="n">
        <v>1731</v>
      </c>
      <c r="H3" t="n">
        <v>342</v>
      </c>
      <c r="I3" t="n">
        <v>978</v>
      </c>
      <c r="J3" t="n">
        <v>3658</v>
      </c>
      <c r="K3" t="n">
        <v>6900</v>
      </c>
      <c r="L3" t="n">
        <v>155</v>
      </c>
      <c r="M3" t="n">
        <v>875.4</v>
      </c>
      <c r="N3" t="n">
        <v>37.147</v>
      </c>
      <c r="O3" t="n">
        <v>1329</v>
      </c>
      <c r="P3" t="n">
        <v>0.267</v>
      </c>
      <c r="Q3" t="n">
        <v>1579.563</v>
      </c>
      <c r="R3" t="n">
        <v>3.061</v>
      </c>
      <c r="S3" t="n">
        <v>17.45</v>
      </c>
    </row>
    <row r="4">
      <c r="A4" t="n">
        <v>2013</v>
      </c>
      <c r="B4" t="n">
        <v>10575</v>
      </c>
      <c r="C4" t="n">
        <v>3873</v>
      </c>
      <c r="E4" t="n">
        <v>2612</v>
      </c>
      <c r="F4" t="n">
        <v>3548</v>
      </c>
      <c r="G4" t="n">
        <v>1973</v>
      </c>
      <c r="H4" t="n">
        <v>357</v>
      </c>
      <c r="I4" t="n">
        <v>977</v>
      </c>
      <c r="J4" t="n">
        <v>3589</v>
      </c>
      <c r="K4" t="n">
        <v>7840</v>
      </c>
      <c r="L4" t="n">
        <v>214</v>
      </c>
      <c r="M4" t="n">
        <v>846.1</v>
      </c>
      <c r="N4" t="n">
        <v>36.624</v>
      </c>
      <c r="O4" t="n">
        <v>1575</v>
      </c>
      <c r="P4" t="n">
        <v>0.272</v>
      </c>
      <c r="Q4" t="n">
        <v>1834.817</v>
      </c>
      <c r="R4" t="n">
        <v>3.087</v>
      </c>
      <c r="S4" t="n">
        <v>18.657</v>
      </c>
    </row>
    <row r="5">
      <c r="A5" t="n">
        <v>2014</v>
      </c>
      <c r="B5" t="n">
        <v>12134</v>
      </c>
      <c r="C5" t="n">
        <v>4624</v>
      </c>
      <c r="E5" t="n">
        <v>3167</v>
      </c>
      <c r="F5" t="n">
        <v>4381</v>
      </c>
      <c r="G5" t="n">
        <v>2297</v>
      </c>
      <c r="H5" t="n">
        <v>371</v>
      </c>
      <c r="I5" t="n">
        <v>1193</v>
      </c>
      <c r="J5" t="n">
        <v>4360</v>
      </c>
      <c r="K5" t="n">
        <v>8409</v>
      </c>
      <c r="L5" t="n">
        <v>52</v>
      </c>
      <c r="M5" t="n">
        <v>823.5</v>
      </c>
      <c r="N5" t="n">
        <v>38.108</v>
      </c>
      <c r="O5" t="n">
        <v>2084</v>
      </c>
      <c r="P5" t="n">
        <v>0.274</v>
      </c>
      <c r="Q5" t="n">
        <v>2353.486</v>
      </c>
      <c r="R5" t="n">
        <v>3.846</v>
      </c>
      <c r="S5" t="n">
        <v>18.93</v>
      </c>
    </row>
    <row r="6">
      <c r="A6" t="n">
        <v>2015</v>
      </c>
      <c r="B6" t="n">
        <v>12611</v>
      </c>
      <c r="C6" t="n">
        <v>5266</v>
      </c>
      <c r="E6" t="n">
        <v>3538</v>
      </c>
      <c r="F6" t="n">
        <v>5140</v>
      </c>
      <c r="G6" t="n">
        <v>2706</v>
      </c>
      <c r="H6" t="n">
        <v>439</v>
      </c>
      <c r="I6" t="n">
        <v>1336</v>
      </c>
      <c r="J6" t="n">
        <v>4874</v>
      </c>
      <c r="L6" t="n">
        <v>153</v>
      </c>
      <c r="M6" t="n">
        <v>805.1</v>
      </c>
      <c r="N6" t="n">
        <v>41.757</v>
      </c>
      <c r="O6" t="n">
        <v>2434</v>
      </c>
      <c r="P6" t="n">
        <v>0.274</v>
      </c>
      <c r="Q6" t="n">
        <v>2752.667</v>
      </c>
      <c r="R6" t="n">
        <v>4.394</v>
      </c>
      <c r="S6" t="n">
        <v>21.457</v>
      </c>
    </row>
    <row r="7">
      <c r="A7" t="n">
        <v>2016</v>
      </c>
      <c r="B7" t="n">
        <v>12037</v>
      </c>
      <c r="C7" t="n">
        <v>5032</v>
      </c>
      <c r="E7" t="n">
        <v>3640</v>
      </c>
      <c r="F7" t="n">
        <v>5202</v>
      </c>
      <c r="G7" t="n">
        <v>2695</v>
      </c>
      <c r="H7" t="n">
        <v>480</v>
      </c>
      <c r="I7" t="n">
        <v>1287</v>
      </c>
      <c r="J7" t="n">
        <v>4927</v>
      </c>
      <c r="L7" t="n">
        <v>176</v>
      </c>
      <c r="M7" t="n">
        <v>779.2</v>
      </c>
      <c r="N7" t="n">
        <v>41.804</v>
      </c>
      <c r="O7" t="n">
        <v>2507</v>
      </c>
      <c r="P7" t="n">
        <v>0.261</v>
      </c>
      <c r="Q7" t="n">
        <v>2861.617</v>
      </c>
      <c r="R7" t="n">
        <v>4.671</v>
      </c>
      <c r="S7" t="n">
        <v>22.389</v>
      </c>
    </row>
    <row r="8">
      <c r="A8" t="n">
        <v>2017</v>
      </c>
      <c r="B8" t="n">
        <v>13041</v>
      </c>
      <c r="C8" t="n">
        <v>5243</v>
      </c>
      <c r="E8" t="n">
        <v>5484</v>
      </c>
      <c r="F8" t="n">
        <v>5516</v>
      </c>
      <c r="G8" t="n">
        <v>2673</v>
      </c>
      <c r="H8" t="n">
        <v>481</v>
      </c>
      <c r="I8" t="n">
        <v>-395</v>
      </c>
      <c r="J8" t="n">
        <v>5089</v>
      </c>
      <c r="K8" t="n">
        <v>10670</v>
      </c>
      <c r="L8" t="n">
        <v>70</v>
      </c>
      <c r="M8" t="n">
        <v>757.3</v>
      </c>
      <c r="N8" t="n">
        <v>40.204</v>
      </c>
      <c r="O8" t="n">
        <v>2843</v>
      </c>
      <c r="P8" t="n">
        <v>0</v>
      </c>
      <c r="Q8" t="n">
        <v>3324</v>
      </c>
      <c r="R8" t="n">
        <v>7.242</v>
      </c>
      <c r="S8" t="n">
        <v>20.497</v>
      </c>
    </row>
    <row r="9">
      <c r="A9" t="n">
        <v>2018</v>
      </c>
      <c r="B9" t="n">
        <v>14321</v>
      </c>
      <c r="C9" t="n">
        <v>5493</v>
      </c>
      <c r="D9" t="n">
        <v>1327</v>
      </c>
      <c r="E9" t="n">
        <v>4328</v>
      </c>
      <c r="F9" t="n">
        <v>5918</v>
      </c>
      <c r="G9" t="n">
        <v>3531</v>
      </c>
      <c r="H9" t="n">
        <v>489</v>
      </c>
      <c r="I9" t="n">
        <v>1354</v>
      </c>
      <c r="J9" t="n">
        <v>5682</v>
      </c>
      <c r="K9" t="n">
        <v>12540</v>
      </c>
      <c r="L9" t="n">
        <v>266</v>
      </c>
      <c r="M9" t="n">
        <v>737.7</v>
      </c>
      <c r="N9" t="n">
        <v>38.356</v>
      </c>
      <c r="O9" t="n">
        <v>2387</v>
      </c>
      <c r="P9" t="n">
        <v>0.238</v>
      </c>
      <c r="Q9" t="n">
        <v>2759.473</v>
      </c>
      <c r="R9" t="n">
        <v>5.867</v>
      </c>
      <c r="S9" t="n">
        <v>24.656</v>
      </c>
    </row>
    <row r="10">
      <c r="A10" t="n">
        <v>2019</v>
      </c>
      <c r="B10" t="n">
        <v>14917</v>
      </c>
      <c r="C10" t="n">
        <v>5593</v>
      </c>
      <c r="D10" t="n">
        <v>1559</v>
      </c>
      <c r="E10" t="n">
        <v>4216</v>
      </c>
      <c r="F10" t="n">
        <v>5923</v>
      </c>
      <c r="G10" t="n">
        <v>3865</v>
      </c>
      <c r="H10" t="n">
        <v>538</v>
      </c>
      <c r="I10" t="n">
        <v>1213</v>
      </c>
      <c r="J10" t="n">
        <v>5429</v>
      </c>
      <c r="K10" t="n">
        <v>13662</v>
      </c>
      <c r="L10" t="n">
        <v>64</v>
      </c>
      <c r="M10" t="n">
        <v>722.6</v>
      </c>
      <c r="N10" t="n">
        <v>37.494</v>
      </c>
      <c r="O10" t="n">
        <v>2058</v>
      </c>
      <c r="P10" t="n">
        <v>0.223</v>
      </c>
      <c r="Q10" t="n">
        <v>2475.795</v>
      </c>
      <c r="R10" t="n">
        <v>5.834</v>
      </c>
      <c r="S10" t="n">
        <v>25.91</v>
      </c>
    </row>
    <row r="11">
      <c r="A11" t="n">
        <v>2020</v>
      </c>
      <c r="B11" t="n">
        <v>13819</v>
      </c>
      <c r="C11" t="n">
        <v>4777</v>
      </c>
      <c r="D11" t="n">
        <v>1583</v>
      </c>
      <c r="E11" t="n">
        <v>3562</v>
      </c>
      <c r="F11" t="n">
        <v>6165</v>
      </c>
      <c r="G11" t="n">
        <v>2863</v>
      </c>
      <c r="H11" t="n">
        <v>554</v>
      </c>
      <c r="I11" t="n">
        <v>982</v>
      </c>
      <c r="J11" t="n">
        <v>4544</v>
      </c>
      <c r="K11" t="n">
        <v>12832</v>
      </c>
      <c r="L11" t="n">
        <v>569</v>
      </c>
      <c r="M11" t="n">
        <v>713</v>
      </c>
      <c r="N11" t="n">
        <v>34.568</v>
      </c>
      <c r="O11" t="n">
        <v>3302</v>
      </c>
      <c r="P11" t="n">
        <v>0.216</v>
      </c>
      <c r="Q11" t="n">
        <v>3736.276</v>
      </c>
      <c r="R11" t="n">
        <v>4.996</v>
      </c>
      <c r="S11" t="n">
        <v>20.718</v>
      </c>
    </row>
    <row r="12">
      <c r="A12" t="n">
        <v>2022</v>
      </c>
      <c r="B12" t="n">
        <v>17107</v>
      </c>
      <c r="C12" t="n">
        <v>6840</v>
      </c>
      <c r="D12" t="n">
        <v>1729</v>
      </c>
      <c r="E12" t="n">
        <v>5118</v>
      </c>
      <c r="F12" t="n">
        <v>6667</v>
      </c>
      <c r="G12" t="n">
        <v>2750</v>
      </c>
      <c r="H12" t="n">
        <v>548</v>
      </c>
      <c r="I12" t="n">
        <v>1645</v>
      </c>
      <c r="J12" t="n">
        <v>6763</v>
      </c>
      <c r="L12" t="n">
        <v>328</v>
      </c>
      <c r="M12" t="n">
        <v>688.3</v>
      </c>
      <c r="N12" t="n">
        <v>39.984</v>
      </c>
      <c r="O12" t="n">
        <v>3917</v>
      </c>
      <c r="P12" t="n">
        <v>0.243</v>
      </c>
      <c r="Q12" t="n">
        <v>4331.707</v>
      </c>
      <c r="R12" t="n">
        <v>7.436</v>
      </c>
      <c r="S12" t="n">
        <v>16.075</v>
      </c>
    </row>
    <row r="13">
      <c r="A13" t="n">
        <v>2023</v>
      </c>
      <c r="B13" t="n">
        <v>16828</v>
      </c>
      <c r="C13" t="n">
        <v>6597</v>
      </c>
      <c r="D13" t="n">
        <v>1817</v>
      </c>
      <c r="E13" t="n">
        <v>5625</v>
      </c>
      <c r="F13" t="n">
        <v>6965</v>
      </c>
      <c r="G13" t="n">
        <v>3187</v>
      </c>
      <c r="H13" t="n">
        <v>722</v>
      </c>
      <c r="I13" t="n">
        <v>863</v>
      </c>
      <c r="J13" t="n">
        <v>6488</v>
      </c>
      <c r="K13" t="n">
        <v>18435</v>
      </c>
      <c r="L13" t="n">
        <v>475</v>
      </c>
      <c r="M13" t="n">
        <v>659.1</v>
      </c>
      <c r="N13" t="n">
        <v>39.203</v>
      </c>
      <c r="O13" t="n">
        <v>3778</v>
      </c>
      <c r="P13" t="n">
        <v>0.133</v>
      </c>
      <c r="Q13" t="n">
        <v>4403.963</v>
      </c>
      <c r="R13" t="n">
        <v>8.534000000000001</v>
      </c>
      <c r="S13" t="n">
        <v>18.939</v>
      </c>
    </row>
    <row r="14">
      <c r="A14" t="n">
        <v>2024</v>
      </c>
      <c r="B14" t="n">
        <v>17046</v>
      </c>
      <c r="C14" t="n">
        <v>6247</v>
      </c>
      <c r="D14" t="n">
        <v>1892</v>
      </c>
      <c r="E14" t="n">
        <v>4448</v>
      </c>
      <c r="F14" t="n">
        <v>6699</v>
      </c>
      <c r="G14" t="n">
        <v>3549</v>
      </c>
      <c r="H14" t="n">
        <v>891</v>
      </c>
      <c r="I14" t="n">
        <v>1404</v>
      </c>
      <c r="J14" t="n">
        <v>5852</v>
      </c>
      <c r="K14" t="n">
        <v>20887</v>
      </c>
      <c r="L14" t="n">
        <v>389</v>
      </c>
      <c r="M14" t="n">
        <v>634.5</v>
      </c>
      <c r="N14" t="n">
        <v>36.648</v>
      </c>
      <c r="O14" t="n">
        <v>3150</v>
      </c>
      <c r="P14" t="n">
        <v>0.24</v>
      </c>
      <c r="Q14" t="n">
        <v>3827.233</v>
      </c>
      <c r="R14" t="n">
        <v>7.01</v>
      </c>
      <c r="S14" t="n">
        <v>20.82</v>
      </c>
    </row>
    <row r="15">
      <c r="A15" t="n">
        <v>2025</v>
      </c>
      <c r="B15" t="n">
        <v>17304</v>
      </c>
      <c r="C15" t="n">
        <v>6587</v>
      </c>
      <c r="D15" t="n">
        <v>1938</v>
      </c>
      <c r="E15" t="n">
        <v>4720</v>
      </c>
      <c r="F15" t="n">
        <v>7049</v>
      </c>
      <c r="G15" t="n">
        <v>3658</v>
      </c>
      <c r="H15" t="n">
        <v>913</v>
      </c>
      <c r="I15" t="n">
        <v>1544</v>
      </c>
      <c r="J15" t="n">
        <v>6264</v>
      </c>
      <c r="K15" t="n">
        <v>21201</v>
      </c>
      <c r="L15" t="n">
        <v>350</v>
      </c>
      <c r="M15" t="n">
        <v>623.7</v>
      </c>
      <c r="N15" t="n">
        <v>38.066</v>
      </c>
      <c r="O15" t="n">
        <v>3391</v>
      </c>
      <c r="P15" t="n">
        <v>0.246</v>
      </c>
      <c r="Q15" t="n">
        <v>4078.957</v>
      </c>
      <c r="R15" t="n">
        <v>7.568</v>
      </c>
      <c r="S15" t="n">
        <v>21.14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Hypothèses (modifiables)</t>
        </is>
      </c>
    </row>
    <row r="2">
      <c r="A2" t="inlineStr">
        <is>
          <t>FCFF de départ (M$ CAD)</t>
        </is>
      </c>
      <c r="B2" t="n">
        <v>4103.3843</v>
      </c>
    </row>
    <row r="3">
      <c r="A3" t="inlineStr">
        <is>
          <t>WACC</t>
        </is>
      </c>
      <c r="B3" t="n">
        <v>0.0781</v>
      </c>
    </row>
    <row r="4">
      <c r="A4" t="inlineStr">
        <is>
          <t>Croissance années 1 à 5</t>
        </is>
      </c>
      <c r="B4" t="n">
        <v>0.0321</v>
      </c>
    </row>
    <row r="5">
      <c r="A5" t="inlineStr">
        <is>
          <t>Croissance perpétuelle</t>
        </is>
      </c>
      <c r="B5" t="n">
        <v>0.02</v>
      </c>
    </row>
    <row r="6">
      <c r="A6" t="inlineStr">
        <is>
          <t>Dette nette (M$ CAD)</t>
        </is>
      </c>
      <c r="B6" t="n">
        <v>20851</v>
      </c>
    </row>
    <row r="7">
      <c r="A7" t="inlineStr">
        <is>
          <t>Actions diluées (millions)</t>
        </is>
      </c>
      <c r="B7" t="n">
        <v>604.9</v>
      </c>
    </row>
    <row r="9">
      <c r="A9" s="1" t="inlineStr">
        <is>
          <t>Projection</t>
        </is>
      </c>
    </row>
    <row r="10">
      <c r="A10" s="1" t="inlineStr">
        <is>
          <t>année</t>
        </is>
      </c>
      <c r="B10" s="1" t="inlineStr">
        <is>
          <t>croissance</t>
        </is>
      </c>
      <c r="C10" s="1" t="inlineStr">
        <is>
          <t>FCFF (M$)</t>
        </is>
      </c>
      <c r="D10" s="1" t="inlineStr">
        <is>
          <t>valeur actuelle (M$)</t>
        </is>
      </c>
    </row>
    <row r="11">
      <c r="A11" t="n">
        <v>1</v>
      </c>
      <c r="B11">
        <f>$B$4</f>
        <v/>
      </c>
      <c r="C11">
        <f>$B$2*(1+B11)</f>
        <v/>
      </c>
      <c r="D11">
        <f>C11/(1+$B$3)^A11</f>
        <v/>
      </c>
    </row>
    <row r="12">
      <c r="A12" t="n">
        <v>2</v>
      </c>
      <c r="B12">
        <f>$B$4</f>
        <v/>
      </c>
      <c r="C12">
        <f>C11*(1+B12)</f>
        <v/>
      </c>
      <c r="D12">
        <f>C12/(1+$B$3)^A12</f>
        <v/>
      </c>
    </row>
    <row r="13">
      <c r="A13" t="n">
        <v>3</v>
      </c>
      <c r="B13">
        <f>$B$4</f>
        <v/>
      </c>
      <c r="C13">
        <f>C12*(1+B13)</f>
        <v/>
      </c>
      <c r="D13">
        <f>C13/(1+$B$3)^A13</f>
        <v/>
      </c>
    </row>
    <row r="14">
      <c r="A14" t="n">
        <v>4</v>
      </c>
      <c r="B14">
        <f>$B$4</f>
        <v/>
      </c>
      <c r="C14">
        <f>C13*(1+B14)</f>
        <v/>
      </c>
      <c r="D14">
        <f>C14/(1+$B$3)^A14</f>
        <v/>
      </c>
    </row>
    <row r="15">
      <c r="A15" t="n">
        <v>5</v>
      </c>
      <c r="B15">
        <f>$B$4</f>
        <v/>
      </c>
      <c r="C15">
        <f>C14*(1+B15)</f>
        <v/>
      </c>
      <c r="D15">
        <f>C15/(1+$B$3)^A15</f>
        <v/>
      </c>
    </row>
    <row r="16">
      <c r="A16" t="n">
        <v>6</v>
      </c>
      <c r="B16">
        <f>(1-(6-5)/5)*$B$4+((6-5)/5)*$B$5</f>
        <v/>
      </c>
      <c r="C16">
        <f>C15*(1+B16)</f>
        <v/>
      </c>
      <c r="D16">
        <f>C16/(1+$B$3)^A16</f>
        <v/>
      </c>
    </row>
    <row r="17">
      <c r="A17" t="n">
        <v>7</v>
      </c>
      <c r="B17">
        <f>(1-(7-5)/5)*$B$4+((7-5)/5)*$B$5</f>
        <v/>
      </c>
      <c r="C17">
        <f>C16*(1+B17)</f>
        <v/>
      </c>
      <c r="D17">
        <f>C17/(1+$B$3)^A17</f>
        <v/>
      </c>
    </row>
    <row r="18">
      <c r="A18" t="n">
        <v>8</v>
      </c>
      <c r="B18">
        <f>(1-(8-5)/5)*$B$4+((8-5)/5)*$B$5</f>
        <v/>
      </c>
      <c r="C18">
        <f>C17*(1+B18)</f>
        <v/>
      </c>
      <c r="D18">
        <f>C18/(1+$B$3)^A18</f>
        <v/>
      </c>
    </row>
    <row r="19">
      <c r="A19" t="n">
        <v>9</v>
      </c>
      <c r="B19">
        <f>(1-(9-5)/5)*$B$4+((9-5)/5)*$B$5</f>
        <v/>
      </c>
      <c r="C19">
        <f>C18*(1+B19)</f>
        <v/>
      </c>
      <c r="D19">
        <f>C19/(1+$B$3)^A19</f>
        <v/>
      </c>
    </row>
    <row r="20">
      <c r="A20" t="n">
        <v>10</v>
      </c>
      <c r="B20">
        <f>(1-(10-5)/5)*$B$4+((10-5)/5)*$B$5</f>
        <v/>
      </c>
      <c r="C20">
        <f>C19*(1+B20)</f>
        <v/>
      </c>
      <c r="D20">
        <f>C20/(1+$B$3)^A20</f>
        <v/>
      </c>
    </row>
    <row r="22">
      <c r="A22" t="inlineStr">
        <is>
          <t>Valeur terminale (Gordon), actualisée</t>
        </is>
      </c>
      <c r="D22">
        <f>C20*(1+$B$5)/($B$3-$B$5)/(1+$B$3)^10</f>
        <v/>
      </c>
    </row>
    <row r="23">
      <c r="A23" t="inlineStr">
        <is>
          <t>Valeur d'entreprise (M$)</t>
        </is>
      </c>
      <c r="D23">
        <f>SUM(D11:D20)+D22</f>
        <v/>
      </c>
    </row>
    <row r="24">
      <c r="A24" s="1" t="inlineStr">
        <is>
          <t>Valeur par action (CAD)</t>
        </is>
      </c>
      <c r="D24" s="1">
        <f>(D23-$B$6)/$B$7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Valeur par action (CAD) selon WACC (lignes) et croissance perpétuelle (colonnes)</t>
        </is>
      </c>
    </row>
    <row r="2">
      <c r="A2" t="inlineStr">
        <is>
          <t>wacc \ g_terminal</t>
        </is>
      </c>
      <c r="B2" t="inlineStr">
        <is>
          <t>1.0%</t>
        </is>
      </c>
      <c r="C2" t="inlineStr">
        <is>
          <t>1.5%</t>
        </is>
      </c>
      <c r="D2" t="inlineStr">
        <is>
          <t>2.0%</t>
        </is>
      </c>
      <c r="E2" t="inlineStr">
        <is>
          <t>2.5%</t>
        </is>
      </c>
      <c r="F2" t="inlineStr">
        <is>
          <t>3.0%</t>
        </is>
      </c>
    </row>
    <row r="3">
      <c r="A3" t="inlineStr">
        <is>
          <t>6.0%</t>
        </is>
      </c>
      <c r="B3" t="n">
        <v>121.9</v>
      </c>
      <c r="C3" t="n">
        <v>135.2</v>
      </c>
      <c r="D3" t="n">
        <v>151.8</v>
      </c>
      <c r="E3" t="n">
        <v>173.1</v>
      </c>
      <c r="F3" t="n">
        <v>201.6</v>
      </c>
    </row>
    <row r="4">
      <c r="A4" t="inlineStr">
        <is>
          <t>6.5%</t>
        </is>
      </c>
      <c r="B4" t="n">
        <v>107.4</v>
      </c>
      <c r="C4" t="n">
        <v>118</v>
      </c>
      <c r="D4" t="n">
        <v>130.9</v>
      </c>
      <c r="E4" t="n">
        <v>147.1</v>
      </c>
      <c r="F4" t="n">
        <v>167.8</v>
      </c>
    </row>
    <row r="5">
      <c r="A5" t="inlineStr">
        <is>
          <t>7.0%</t>
        </is>
      </c>
      <c r="B5" t="n">
        <v>95.40000000000001</v>
      </c>
      <c r="C5" t="n">
        <v>104</v>
      </c>
      <c r="D5" t="n">
        <v>114.2</v>
      </c>
      <c r="E5" t="n">
        <v>126.8</v>
      </c>
      <c r="F5" t="n">
        <v>142.5</v>
      </c>
    </row>
    <row r="6">
      <c r="A6" t="inlineStr">
        <is>
          <t>7.5%</t>
        </is>
      </c>
      <c r="B6" t="n">
        <v>85.2</v>
      </c>
      <c r="C6" t="n">
        <v>92.3</v>
      </c>
      <c r="D6" t="n">
        <v>100.6</v>
      </c>
      <c r="E6" t="n">
        <v>110.6</v>
      </c>
      <c r="F6" t="n">
        <v>122.8</v>
      </c>
    </row>
    <row r="7">
      <c r="A7" t="inlineStr">
        <is>
          <t>8.0%</t>
        </is>
      </c>
      <c r="B7" t="n">
        <v>76.5</v>
      </c>
      <c r="C7" t="n">
        <v>82.40000000000001</v>
      </c>
      <c r="D7" t="n">
        <v>89.2</v>
      </c>
      <c r="E7" t="n">
        <v>97.3</v>
      </c>
      <c r="F7" t="n">
        <v>107</v>
      </c>
    </row>
    <row r="8">
      <c r="A8" t="inlineStr">
        <is>
          <t>8.5%</t>
        </is>
      </c>
      <c r="B8" t="n">
        <v>68.90000000000001</v>
      </c>
      <c r="C8" t="n">
        <v>73.90000000000001</v>
      </c>
      <c r="D8" t="n">
        <v>79.59999999999999</v>
      </c>
      <c r="E8" t="n">
        <v>86.3</v>
      </c>
      <c r="F8" t="n">
        <v>94.2</v>
      </c>
    </row>
    <row r="9">
      <c r="A9" t="inlineStr">
        <is>
          <t>9.0%</t>
        </is>
      </c>
      <c r="B9" t="n">
        <v>62.3</v>
      </c>
      <c r="C9" t="n">
        <v>66.5</v>
      </c>
      <c r="D9" t="n">
        <v>71.40000000000001</v>
      </c>
      <c r="E9" t="n">
        <v>76.90000000000001</v>
      </c>
      <c r="F9" t="n">
        <v>83.40000000000001</v>
      </c>
    </row>
    <row r="10">
      <c r="A10" t="inlineStr">
        <is>
          <t>9.5%</t>
        </is>
      </c>
      <c r="B10" t="n">
        <v>56.5</v>
      </c>
      <c r="C10" t="n">
        <v>60.1</v>
      </c>
      <c r="D10" t="n">
        <v>64.2</v>
      </c>
      <c r="E10" t="n">
        <v>68.90000000000001</v>
      </c>
      <c r="F10" t="n">
        <v>74.3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titre</t>
        </is>
      </c>
      <c r="B1" s="1" t="inlineStr">
        <is>
          <t>EV/EBITDA</t>
        </is>
      </c>
      <c r="C1" s="1" t="inlineStr">
        <is>
          <t>P/E</t>
        </is>
      </c>
    </row>
    <row r="2">
      <c r="A2" t="inlineStr">
        <is>
          <t>CNR.TO</t>
        </is>
      </c>
      <c r="B2" t="n">
        <v>14.02</v>
      </c>
      <c r="C2" t="n">
        <v>22.47</v>
      </c>
    </row>
    <row r="3">
      <c r="A3" t="inlineStr">
        <is>
          <t>CP.TO</t>
        </is>
      </c>
      <c r="B3" t="n">
        <v>16.99</v>
      </c>
      <c r="C3" t="n">
        <v>30.49</v>
      </c>
    </row>
    <row r="4">
      <c r="A4" t="inlineStr">
        <is>
          <t>UNP</t>
        </is>
      </c>
      <c r="B4" t="n">
        <v>16.44</v>
      </c>
      <c r="C4" t="n">
        <v>24.91</v>
      </c>
    </row>
    <row r="5">
      <c r="A5" t="inlineStr">
        <is>
          <t>CSX</t>
        </is>
      </c>
      <c r="B5" t="n">
        <v>16.62</v>
      </c>
      <c r="C5" t="n">
        <v>29.81</v>
      </c>
    </row>
    <row r="6">
      <c r="A6" t="inlineStr">
        <is>
          <t>NSC</t>
        </is>
      </c>
      <c r="B6" t="n">
        <v>16.64</v>
      </c>
      <c r="C6" t="n">
        <v>29.73</v>
      </c>
    </row>
    <row r="7">
      <c r="A7" t="inlineStr">
        <is>
          <t>mediane_pairs</t>
        </is>
      </c>
      <c r="B7" t="n">
        <v>16.63</v>
      </c>
      <c r="C7" t="n">
        <v>29.77</v>
      </c>
    </row>
    <row r="8">
      <c r="A8" t="inlineStr">
        <is>
          <t>valeur_cn_implicite_par_action</t>
        </is>
      </c>
      <c r="B8" t="n">
        <v>199.9</v>
      </c>
      <c r="C8" t="n">
        <v>225.29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2026-08-29T02:35:20Z</dcterms:created>
  <dcterms:modified xmlns:dcterms="http://purl.org/dc/terms/" xmlns:xsi="http://www.w3.org/2001/XMLSchema-instance" xsi:type="dcterms:W3CDTF">2026-08-29T02:35:20Z</dcterms:modified>
</cp:coreProperties>
</file>